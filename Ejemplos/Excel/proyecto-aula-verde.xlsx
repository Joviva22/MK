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Calendario" state="visible" r:id="rId5"/>
    <sheet sheetId="3" name="Seguimiento" state="visible" r:id="rId6"/>
  </sheets>
  <calcPr calcId="171027" fullCalcOnLoad="1"/>
</workbook>
</file>

<file path=xl/sharedStrings.xml><?xml version="1.0" encoding="utf-8"?>
<sst xmlns="http://schemas.openxmlformats.org/spreadsheetml/2006/main" count="61" uniqueCount="53">
  <si>
    <t>AULA VERDE · PRESUPUESTO</t>
  </si>
  <si>
    <t>Cambia cantidades y precios: los importes se recalculan en MK.</t>
  </si>
  <si>
    <t>Concepto</t>
  </si>
  <si>
    <t>Responsable</t>
  </si>
  <si>
    <t>Cantidad</t>
  </si>
  <si>
    <t>Precio unitario</t>
  </si>
  <si>
    <t>Importe</t>
  </si>
  <si>
    <t>Semillas</t>
  </si>
  <si>
    <t>Ana</t>
  </si>
  <si>
    <t>Herramientas</t>
  </si>
  <si>
    <t>Luis</t>
  </si>
  <si>
    <t>Riego</t>
  </si>
  <si>
    <t>Marta</t>
  </si>
  <si>
    <t>Sustrato</t>
  </si>
  <si>
    <t>Pablo</t>
  </si>
  <si>
    <t>Formación</t>
  </si>
  <si>
    <t>Lucía</t>
  </si>
  <si>
    <t>Subtotal</t>
  </si>
  <si>
    <t>IVA</t>
  </si>
  <si>
    <t>TOTAL</t>
  </si>
  <si>
    <t>Reserva</t>
  </si>
  <si>
    <t>Saldo</t>
  </si>
  <si>
    <t>Estado</t>
  </si>
  <si>
    <t>Fase</t>
  </si>
  <si>
    <t>Inicio</t>
  </si>
  <si>
    <t>Entregable</t>
  </si>
  <si>
    <t>Preparar terreno</t>
  </si>
  <si>
    <t>En curso</t>
  </si>
  <si>
    <t>Plano del huerto</t>
  </si>
  <si>
    <t>Sembrar</t>
  </si>
  <si>
    <t>Pendiente</t>
  </si>
  <si>
    <t>Registro de semillas</t>
  </si>
  <si>
    <t>Medir consumo</t>
  </si>
  <si>
    <t>Lecturas semanales</t>
  </si>
  <si>
    <t>Presentar resultados</t>
  </si>
  <si>
    <t>Informe y diapositivas</t>
  </si>
  <si>
    <t>Semana</t>
  </si>
  <si>
    <t>Agua (litros)</t>
  </si>
  <si>
    <t>Cosecha (kg)</t>
  </si>
  <si>
    <t>Kg por litro</t>
  </si>
  <si>
    <t>Observación</t>
  </si>
  <si>
    <t>Semana 1</t>
  </si>
  <si>
    <t>Siembra inicial</t>
  </si>
  <si>
    <t>Semana 2</t>
  </si>
  <si>
    <t>Riego ajustado</t>
  </si>
  <si>
    <t>Semana 3</t>
  </si>
  <si>
    <t>Mejora del consumo</t>
  </si>
  <si>
    <t>Semana 4</t>
  </si>
  <si>
    <t>Cosecha estable</t>
  </si>
  <si>
    <t>Total agua</t>
  </si>
  <si>
    <t>Promedio cosecha</t>
  </si>
  <si>
    <t>Coste del proyecto</t>
  </si>
  <si>
    <t>Objetivos de Desarrollo Sostenible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</si>
</sst>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&quot;€&quot;"/>
    <numFmt numFmtId="165" formatCode="dd/mm/yyyy"/>
  </numFmts>
  <fonts count="4" x14ac:knownFonts="1">
    <font>
      <color theme="1"/>
      <family val="2"/>
      <scheme val="minor"/>
      <sz val="11"/>
      <name val="Calibri"/>
    </font>
    <font>
      <b/>
      <color rgb="FF234E70"/>
      <sz val="20"/>
      <name val="Calibri"/>
    </font>
    <font>
      <b/>
      <color rgb="FFFFFFFF"/>
    </font>
    <font>
      <b/>
      <color rgb="FF234E70"/>
    </font>
  </fonts>
  <fills count="4">
    <fill>
      <patternFill patternType="none"/>
    </fill>
    <fill>
      <patternFill patternType="gray125"/>
    </fill>
    <fill>
      <patternFill patternType="solid">
        <fgColor rgb="FF234E70"/>
      </patternFill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E8EEF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164" fontId="0" fillId="0" borderId="1" xfId="0" applyNumberFormat="1" applyBorder="1"/>
    <xf numFmtId="164" fontId="0" fillId="0" borderId="0" xfId="0" applyNumberFormat="1"/>
    <xf numFmtId="9" fontId="0" fillId="0" borderId="1" xfId="0" applyNumberFormat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un.org/sustainabledevelopment/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9" customWidth="1"/>
    <col min="3" max="3" width="13" customWidth="1"/>
    <col min="4" max="4" width="17" customWidth="1"/>
    <col min="5" max="5" width="19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2" spans="1:1" x14ac:dyDescent="0.25">
      <c r="A2" s="2" t="s">
        <v>1</v>
      </c>
    </row>
    <row r="3" ht="28" customHeight="1" spans="1: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25">
      <c r="A4" s="2" t="s">
        <v>7</v>
      </c>
      <c r="B4" s="2" t="s">
        <v>8</v>
      </c>
      <c r="C4" s="2">
        <v>12</v>
      </c>
      <c r="D4" s="4">
        <v>5</v>
      </c>
      <c r="E4" s="4">
        <f>C4*D4</f>
        <v>60</v>
      </c>
    </row>
    <row r="5" spans="1:5" x14ac:dyDescent="0.25">
      <c r="A5" s="2" t="s">
        <v>9</v>
      </c>
      <c r="B5" s="2" t="s">
        <v>10</v>
      </c>
      <c r="C5" s="2">
        <v>8</v>
      </c>
      <c r="D5" s="4">
        <v>30</v>
      </c>
      <c r="E5" s="4">
        <f>C5*D5</f>
        <v>240</v>
      </c>
    </row>
    <row r="6" spans="1:5" x14ac:dyDescent="0.25">
      <c r="A6" s="2" t="s">
        <v>11</v>
      </c>
      <c r="B6" s="2" t="s">
        <v>12</v>
      </c>
      <c r="C6" s="2">
        <v>1</v>
      </c>
      <c r="D6" s="4">
        <v>150</v>
      </c>
      <c r="E6" s="4">
        <f>C6*D6</f>
        <v>150</v>
      </c>
    </row>
    <row r="7" spans="1:5" x14ac:dyDescent="0.25">
      <c r="A7" s="2" t="s">
        <v>13</v>
      </c>
      <c r="B7" s="2" t="s">
        <v>14</v>
      </c>
      <c r="C7" s="2">
        <v>10</v>
      </c>
      <c r="D7" s="4">
        <v>8</v>
      </c>
      <c r="E7" s="4">
        <f>C7*D7</f>
        <v>80</v>
      </c>
    </row>
    <row r="8" spans="1:5" x14ac:dyDescent="0.25">
      <c r="A8" s="2" t="s">
        <v>15</v>
      </c>
      <c r="B8" s="2" t="s">
        <v>16</v>
      </c>
      <c r="C8" s="2">
        <v>2</v>
      </c>
      <c r="D8" s="4">
        <v>90</v>
      </c>
      <c r="E8" s="4">
        <f>C8*D8</f>
        <v>180</v>
      </c>
    </row>
    <row r="9" spans="4:5" x14ac:dyDescent="0.25">
      <c r="D9" s="5"/>
      <c r="E9" s="5"/>
    </row>
    <row r="10" spans="4:5" x14ac:dyDescent="0.25">
      <c r="D10" s="2" t="s">
        <v>17</v>
      </c>
      <c r="E10" s="4">
        <f>SUM(E4:E8)</f>
        <v>710</v>
      </c>
    </row>
    <row r="11" spans="3:5" x14ac:dyDescent="0.25">
      <c r="C11" s="6">
        <v>0.21</v>
      </c>
      <c r="D11" s="2" t="s">
        <v>18</v>
      </c>
      <c r="E11" s="4">
        <f>E10*C11</f>
        <v>149.1</v>
      </c>
    </row>
    <row r="12" spans="4:5" x14ac:dyDescent="0.25">
      <c r="D12" s="7" t="s">
        <v>19</v>
      </c>
      <c r="E12" s="8">
        <f>SUM(E10:E11)</f>
        <v>859.1</v>
      </c>
    </row>
    <row r="13" spans="4:5" x14ac:dyDescent="0.25">
      <c r="D13" s="5"/>
      <c r="E13" s="5"/>
    </row>
    <row r="14" spans="4:5" x14ac:dyDescent="0.25">
      <c r="D14" s="2" t="s">
        <v>20</v>
      </c>
      <c r="E14" s="4">
        <v>1250</v>
      </c>
    </row>
    <row r="15" spans="4:5" x14ac:dyDescent="0.25">
      <c r="D15" s="2" t="s">
        <v>21</v>
      </c>
      <c r="E15" s="4">
        <f>E14-E12</f>
        <v>390.9</v>
      </c>
    </row>
    <row r="16" spans="4:5" x14ac:dyDescent="0.25">
      <c r="D16" s="2" t="s">
        <v>22</v>
      </c>
      <c r="E16" s="2" t="str">
        <f>IF(E15&gt;=0,"Dentro de presupuesto","Revisar")</f>
        <v>Dentro de presupuesto</v>
      </c>
    </row>
  </sheetData>
  <autoFilter ref="A3:E8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8" customWidth="1"/>
    <col min="2" max="3" width="19" customWidth="1"/>
    <col min="4" max="4" width="20" customWidth="1"/>
    <col min="5" max="5" width="28" customWidth="1"/>
  </cols>
  <sheetData>
    <row r="1" ht="28" customHeight="1" spans="1:5" x14ac:dyDescent="0.25">
      <c r="A1" s="3" t="s">
        <v>23</v>
      </c>
      <c r="B1" s="3" t="s">
        <v>3</v>
      </c>
      <c r="C1" s="3" t="s">
        <v>24</v>
      </c>
      <c r="D1" s="3" t="s">
        <v>22</v>
      </c>
      <c r="E1" s="3" t="s">
        <v>25</v>
      </c>
    </row>
    <row r="2" spans="1:5" x14ac:dyDescent="0.25">
      <c r="A2" s="2" t="s">
        <v>26</v>
      </c>
      <c r="B2" s="2" t="s">
        <v>8</v>
      </c>
      <c r="C2" s="9">
        <v>46307.5</v>
      </c>
      <c r="D2" s="2" t="s">
        <v>27</v>
      </c>
      <c r="E2" s="2" t="s">
        <v>28</v>
      </c>
    </row>
    <row r="3" spans="1:5" x14ac:dyDescent="0.25">
      <c r="A3" s="2" t="s">
        <v>29</v>
      </c>
      <c r="B3" s="2" t="s">
        <v>10</v>
      </c>
      <c r="C3" s="9">
        <v>46314.5</v>
      </c>
      <c r="D3" s="2" t="s">
        <v>30</v>
      </c>
      <c r="E3" s="2" t="s">
        <v>31</v>
      </c>
    </row>
    <row r="4" spans="1:5" x14ac:dyDescent="0.25">
      <c r="A4" s="2" t="s">
        <v>32</v>
      </c>
      <c r="B4" s="2" t="s">
        <v>12</v>
      </c>
      <c r="C4" s="9">
        <v>46321.5</v>
      </c>
      <c r="D4" s="2" t="s">
        <v>30</v>
      </c>
      <c r="E4" s="2" t="s">
        <v>33</v>
      </c>
    </row>
    <row r="5" spans="1:5" x14ac:dyDescent="0.25">
      <c r="A5" s="2" t="s">
        <v>34</v>
      </c>
      <c r="B5" s="2" t="s">
        <v>14</v>
      </c>
      <c r="C5" s="9">
        <v>46349.5</v>
      </c>
      <c r="D5" s="2" t="s">
        <v>30</v>
      </c>
      <c r="E5" s="2" t="s">
        <v>35</v>
      </c>
    </row>
  </sheetData>
  <autoFilter ref="A1:E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24" customWidth="1"/>
    <col min="2" max="3" width="18" customWidth="1"/>
    <col min="4" max="5" width="20" customWidth="1"/>
  </cols>
  <sheetData>
    <row r="1" ht="28" customHeight="1" spans="1:5" x14ac:dyDescent="0.2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</row>
    <row r="2" spans="1:5" x14ac:dyDescent="0.25">
      <c r="A2" s="2" t="s">
        <v>41</v>
      </c>
      <c r="B2" s="2">
        <v>45</v>
      </c>
      <c r="C2" s="2">
        <v>3</v>
      </c>
      <c r="D2" s="2">
        <f>ROUND(C2/B2,3)</f>
        <v>0.067</v>
      </c>
      <c r="E2" s="2" t="s">
        <v>42</v>
      </c>
    </row>
    <row r="3" spans="1:5" x14ac:dyDescent="0.25">
      <c r="A3" s="2" t="s">
        <v>43</v>
      </c>
      <c r="B3" s="2">
        <v>38</v>
      </c>
      <c r="C3" s="2">
        <v>4</v>
      </c>
      <c r="D3" s="2">
        <f>ROUND(C3/B3,3)</f>
        <v>0.105</v>
      </c>
      <c r="E3" s="2" t="s">
        <v>44</v>
      </c>
    </row>
    <row r="4" spans="1:5" x14ac:dyDescent="0.25">
      <c r="A4" s="2" t="s">
        <v>45</v>
      </c>
      <c r="B4" s="2">
        <v>35</v>
      </c>
      <c r="C4" s="2">
        <v>5</v>
      </c>
      <c r="D4" s="2">
        <f>ROUND(C4/B4,3)</f>
        <v>0.143</v>
      </c>
      <c r="E4" s="2" t="s">
        <v>46</v>
      </c>
    </row>
    <row r="5" spans="1:5" x14ac:dyDescent="0.25">
      <c r="A5" s="2" t="s">
        <v>47</v>
      </c>
      <c r="B5" s="2">
        <v>32</v>
      </c>
      <c r="C5" s="2">
        <v>6</v>
      </c>
      <c r="D5" s="2">
        <f>ROUND(C5/B5,3)</f>
        <v>0.188</v>
      </c>
      <c r="E5" s="2" t="s">
        <v>48</v>
      </c>
    </row>
    <row r="7" spans="1:2" x14ac:dyDescent="0.25">
      <c r="A7" s="2" t="s">
        <v>49</v>
      </c>
      <c r="B7" s="2">
        <f>SUM(B2:B5)</f>
        <v>150</v>
      </c>
    </row>
    <row r="8" spans="1:2" x14ac:dyDescent="0.25">
      <c r="A8" s="2" t="s">
        <v>50</v>
      </c>
      <c r="B8" s="2">
        <f>AVERAGE(C2:C5)</f>
        <v>4.5</v>
      </c>
    </row>
    <row r="10" spans="1:2" x14ac:dyDescent="0.25">
      <c r="A10" s="2" t="s">
        <v>51</v>
      </c>
      <c r="B10" s="4">
        <f>'Presupuesto'!E12</f>
        <v>859.1</v>
      </c>
    </row>
    <row r="12" spans="1:1" x14ac:dyDescent="0.25">
      <c r="A12" s="2" t="s">
        <v>52</v>
      </c>
    </row>
  </sheetData>
  <autoFilter ref="A1:E5"/>
  <hyperlinks>
    <hyperlink ref="A1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Presupuesto</vt:lpstr>
      <vt:lpstr>Calendario</vt:lpstr>
      <vt:lpstr>Seguimiento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</dc:creator>
  <dc:title>Proyecto Aula Verde</dc:title>
  <dc:subject/>
  <dc:description/>
  <cp:keywords/>
  <cp:category/>
  <cp:lastModifiedBy>Unknown</cp:lastModifiedBy>
  <dcterms:created xsi:type="dcterms:W3CDTF">2026-10-07T10:00:00Z</dcterms:created>
  <dcterms:modified xsi:type="dcterms:W3CDTF">2026-10-07T19:49:31Z</dcterms:modified>
</cp:coreProperties>
</file>